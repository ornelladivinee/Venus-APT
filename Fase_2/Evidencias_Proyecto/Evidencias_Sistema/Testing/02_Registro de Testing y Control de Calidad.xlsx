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de pruebas realizada" sheetId="1" r:id="rId5"/>
    <sheet state="visible" name="Registro de incidencias" sheetId="2" r:id="rId6"/>
    <sheet state="visible" name="Matriz de trazabilidad" sheetId="3" r:id="rId7"/>
    <sheet state="visible" name="Métricas de prueba" sheetId="4" r:id="rId8"/>
    <sheet state="visible" name="Control de defectos" sheetId="5" r:id="rId9"/>
  </sheets>
  <definedNames/>
  <calcPr/>
</workbook>
</file>

<file path=xl/sharedStrings.xml><?xml version="1.0" encoding="utf-8"?>
<sst xmlns="http://schemas.openxmlformats.org/spreadsheetml/2006/main" count="160" uniqueCount="119">
  <si>
    <t>ID</t>
  </si>
  <si>
    <t>Caso de Prueba</t>
  </si>
  <si>
    <t>Descripción</t>
  </si>
  <si>
    <t>Resultado Esperado</t>
  </si>
  <si>
    <t>Resultado Obtenido</t>
  </si>
  <si>
    <t>Estado</t>
  </si>
  <si>
    <t>Observaciones</t>
  </si>
  <si>
    <t>CP-01</t>
  </si>
  <si>
    <t>Iniciar sesión correctamente</t>
  </si>
  <si>
    <t>Validar que el usuario pueda iniciar sesión con credenciales válidas.</t>
  </si>
  <si>
    <t>Acceso exitoso; la app navega a la pantalla principal.</t>
  </si>
  <si>
    <t>Acceso exitoso.</t>
  </si>
  <si>
    <t>OK</t>
  </si>
  <si>
    <t>Cumplido según requisitos.</t>
  </si>
  <si>
    <t>CP-02</t>
  </si>
  <si>
    <t>Error de login</t>
  </si>
  <si>
    <t>Verificar que se muestre un mensaje al ingresar credenciales incorrectas.</t>
  </si>
  <si>
    <t>Se muestra mensaje de error adecuado.</t>
  </si>
  <si>
    <t>Mensaje mostrado.</t>
  </si>
  <si>
    <t>Cumplido; mejora sugerida: mensajes más específicos.</t>
  </si>
  <si>
    <t>CP-03</t>
  </si>
  <si>
    <t>Validar campos vacíos</t>
  </si>
  <si>
    <t>Asegurar que no permita enviar formulario vacío.</t>
  </si>
  <si>
    <t>El sistema bloquea el envío y muestra advertencia.</t>
  </si>
  <si>
    <t>Bloquea correctamente.</t>
  </si>
  <si>
    <t>Cumplido; validaciones correctas.</t>
  </si>
  <si>
    <t>CP-04</t>
  </si>
  <si>
    <t>Navegación entre pantallas</t>
  </si>
  <si>
    <t>Comprobar navegación fluida entre pantallas principales.</t>
  </si>
  <si>
    <t>Navegación fluida sin errores ni cierres inesperados.</t>
  </si>
  <si>
    <t>Fluida sin errores.</t>
  </si>
  <si>
    <t>Cumplido; no se detectan anomalías.</t>
  </si>
  <si>
    <t>CP-05</t>
  </si>
  <si>
    <t>Crear reserva</t>
  </si>
  <si>
    <t>Validar que el usuario pueda crear una reserva correctamente.</t>
  </si>
  <si>
    <t>Reserva guardada exitosamente en la BD.</t>
  </si>
  <si>
    <t>Guarda la reserva.</t>
  </si>
  <si>
    <t>Cumplido; datos persistidos correctamente.</t>
  </si>
  <si>
    <t>CP-06</t>
  </si>
  <si>
    <t>Visualizar historial</t>
  </si>
  <si>
    <t>Verificar que se muestren correctamente las reservas en el historial.</t>
  </si>
  <si>
    <t>Se muestran todos los registros existentes.</t>
  </si>
  <si>
    <t>Registros mostrados.</t>
  </si>
  <si>
    <t>Cumplido; visualización correcta.</t>
  </si>
  <si>
    <t>CP-07</t>
  </si>
  <si>
    <t>Cerrar sesión</t>
  </si>
  <si>
    <t>Validar que la aplicación permita cerrar sesión y regresar al login.</t>
  </si>
  <si>
    <t>Debe cerrar sesión y volver a la pantalla de login.</t>
  </si>
  <si>
    <t>Navegación exitosa.</t>
  </si>
  <si>
    <t>Cumplido; navegación funcional.</t>
  </si>
  <si>
    <t>ID Incidencia</t>
  </si>
  <si>
    <t>Fecha</t>
  </si>
  <si>
    <t>Módulo</t>
  </si>
  <si>
    <t>Severidad</t>
  </si>
  <si>
    <t>Responsable</t>
  </si>
  <si>
    <t>Solución / Comentario</t>
  </si>
  <si>
    <t>INC-01</t>
  </si>
  <si>
    <t>No existe opción para cerrar sesión y volver al login</t>
  </si>
  <si>
    <t>Navegación / Perfil</t>
  </si>
  <si>
    <t>Media</t>
  </si>
  <si>
    <t>Pendiente</t>
  </si>
  <si>
    <t>Ornella</t>
  </si>
  <si>
    <t>Se recomienda implementar un botón de logout en el menú principal</t>
  </si>
  <si>
    <t>INC-02</t>
  </si>
  <si>
    <t>Error al mostrar los datos del historial médico de la usuaria tras registrarse por primera vez.</t>
  </si>
  <si>
    <t>Historial</t>
  </si>
  <si>
    <t>Resuelta</t>
  </si>
  <si>
    <t>Katherine</t>
  </si>
  <si>
    <t>Se corrigió el error ajustando la función getHistorial() en el módulo de historial. Ahora los datos se cargan correctamente después del registro.</t>
  </si>
  <si>
    <t>ID Requisito</t>
  </si>
  <si>
    <t>Descripción del Requisito</t>
  </si>
  <si>
    <t>ID Caso de Prueba</t>
  </si>
  <si>
    <t>RF-01</t>
  </si>
  <si>
    <t>El sistema debe permitir el inicio de sesión con usuario y contraseña válidos.</t>
  </si>
  <si>
    <t>El usuario accede correctamente al sistema.</t>
  </si>
  <si>
    <t>Cumple</t>
  </si>
  <si>
    <t>Aprobado</t>
  </si>
  <si>
    <t>RF-02</t>
  </si>
  <si>
    <t>El sistema debe mostrar un mensaje de error al ingresar credenciales incorrectas.</t>
  </si>
  <si>
    <t>Aparece mensaje “Usuario o contraseña incorrectos”.</t>
  </si>
  <si>
    <t>RF-03</t>
  </si>
  <si>
    <t>El sistema debe permitir visualizar el historial de reservas.</t>
  </si>
  <si>
    <t>Se muestra correctamente la lista de reservas registradas.</t>
  </si>
  <si>
    <t>RF-04</t>
  </si>
  <si>
    <t>El sistema debe permitir cerrar sesión y volver al login.</t>
  </si>
  <si>
    <t>El usuario cierra sesión y retorna a la pantalla principal.</t>
  </si>
  <si>
    <t>No cumple</t>
  </si>
  <si>
    <t>RF-05</t>
  </si>
  <si>
    <t>El sistema debe mostrar los datos del perfil del usuario logueado.</t>
  </si>
  <si>
    <t>Se muestran correctamente los datos del perfil.</t>
  </si>
  <si>
    <t>Porcentaje de cumplimiento:</t>
  </si>
  <si>
    <t>Cantidad</t>
  </si>
  <si>
    <t>Métrica</t>
  </si>
  <si>
    <t>Fórmula</t>
  </si>
  <si>
    <t>Resultado</t>
  </si>
  <si>
    <t>Interpretación</t>
  </si>
  <si>
    <t>Casos de prueba totales</t>
  </si>
  <si>
    <t>Total de casos diseñados para evaluar los requisitos funcionales del módulo.</t>
  </si>
  <si>
    <t>Casos aprobados</t>
  </si>
  <si>
    <t>Casos que cumplieron con los resultados esperados.</t>
  </si>
  <si>
    <t>Casos fallidos / pendientes</t>
  </si>
  <si>
    <t>Casos que no cumplieron los criterios de aceptación.</t>
  </si>
  <si>
    <t>Porcentaje de éxito de pruebas</t>
  </si>
  <si>
    <t>Nivel de cumplimiento de los requisitos funcionales evaluados.</t>
  </si>
  <si>
    <t>Densidad de defectos</t>
  </si>
  <si>
    <t>Por cada 5 casos probados, se detectaron 2 defectos (uno resuelto y uno pendiente).</t>
  </si>
  <si>
    <t>Tasa de resolución de defectos</t>
  </si>
  <si>
    <t>Porcentaje de incidencias solucionadas durante el proceso de prueba.</t>
  </si>
  <si>
    <t>ID Defecto</t>
  </si>
  <si>
    <t>Fecha detección</t>
  </si>
  <si>
    <t>Fecha resolución</t>
  </si>
  <si>
    <t>DEF-01</t>
  </si>
  <si>
    <t>-</t>
  </si>
  <si>
    <t>Se recomienda implementar un botón de logout</t>
  </si>
  <si>
    <t>DEF-02</t>
  </si>
  <si>
    <t>Registro</t>
  </si>
  <si>
    <t>Error en validación de correo electrónico</t>
  </si>
  <si>
    <t>Resuelto</t>
  </si>
  <si>
    <t>Corregido patrón del campo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</si>
</sst>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B3E3"/>
        <bgColor rgb="FFFFB3E3"/>
      </patternFill>
    </fill>
    <fill>
      <patternFill patternType="solid">
        <fgColor rgb="FFFFE8F6"/>
        <bgColor rgb="FFFFE8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9" xfId="0" applyBorder="1" applyFont="1" applyNumberFormat="1"/>
    <xf borderId="1" fillId="0" fontId="2" numFmtId="0" xfId="0" applyBorder="1" applyFont="1"/>
    <xf borderId="1" fillId="3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9" xfId="0" applyBorder="1" applyFont="1" applyNumberFormat="1"/>
    <xf borderId="1" fillId="0" fontId="2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'Matriz de trazabilidad'!$F$10</c:f>
            </c:strRef>
          </c:tx>
          <c:dPt>
            <c:idx val="0"/>
            <c:spPr>
              <a:solidFill>
                <a:srgbClr val="FFB3E3"/>
              </a:solidFill>
              <a:ln cmpd="sng" w="9525">
                <a:solidFill>
                  <a:srgbClr val="F6F8F9"/>
                </a:solidFill>
              </a:ln>
            </c:spPr>
          </c:dPt>
          <c:dPt>
            <c:idx val="1"/>
            <c:spPr>
              <a:solidFill>
                <a:srgbClr val="FF53C0"/>
              </a:solidFill>
              <a:ln cmpd="sng" w="9525">
                <a:solidFill>
                  <a:srgbClr val="F6F8F9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trazabilidad'!$E$11:$E$12</c:f>
            </c:strRef>
          </c:cat>
          <c:val>
            <c:numRef>
              <c:f>'Matriz de trazabilidad'!$F$11:$F$12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'Métricas de prueba'!$G$1</c:f>
            </c:strRef>
          </c:tx>
          <c:dPt>
            <c:idx val="0"/>
            <c:spPr>
              <a:solidFill>
                <a:srgbClr val="FFE8F6"/>
              </a:solidFill>
            </c:spPr>
          </c:dPt>
          <c:dPt>
            <c:idx val="1"/>
            <c:spPr>
              <a:solidFill>
                <a:srgbClr val="FF53C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'Métricas de prueba'!$F$2:$F$3</c:f>
            </c:strRef>
          </c:cat>
          <c:val>
            <c:numRef>
              <c:f>'Métricas de prueba'!$G$2:$G$3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6</xdr:row>
      <xdr:rowOff>95250</xdr:rowOff>
    </xdr:from>
    <xdr:ext cx="3343275" cy="14097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3</xdr:row>
      <xdr:rowOff>57150</xdr:rowOff>
    </xdr:from>
    <xdr:ext cx="3276600" cy="16478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2.38"/>
    <col customWidth="1" min="3" max="3" width="27.13"/>
    <col customWidth="1" min="4" max="4" width="25.13"/>
    <col customWidth="1" min="5" max="5" width="19.75"/>
    <col customWidth="1" min="6" max="6" width="24.13"/>
    <col customWidth="1" min="7" max="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3" t="s">
        <v>12</v>
      </c>
      <c r="G2" s="4" t="s">
        <v>13</v>
      </c>
    </row>
    <row r="3">
      <c r="A3" s="2" t="s">
        <v>14</v>
      </c>
      <c r="B3" s="3" t="s">
        <v>15</v>
      </c>
      <c r="C3" s="4" t="s">
        <v>16</v>
      </c>
      <c r="D3" s="4" t="s">
        <v>17</v>
      </c>
      <c r="E3" s="4" t="s">
        <v>18</v>
      </c>
      <c r="F3" s="3" t="s">
        <v>12</v>
      </c>
      <c r="G3" s="4" t="s">
        <v>19</v>
      </c>
    </row>
    <row r="4">
      <c r="A4" s="2" t="s">
        <v>20</v>
      </c>
      <c r="B4" s="3" t="s">
        <v>21</v>
      </c>
      <c r="C4" s="4" t="s">
        <v>22</v>
      </c>
      <c r="D4" s="4" t="s">
        <v>23</v>
      </c>
      <c r="E4" s="4" t="s">
        <v>24</v>
      </c>
      <c r="F4" s="3" t="s">
        <v>12</v>
      </c>
      <c r="G4" s="4" t="s">
        <v>25</v>
      </c>
    </row>
    <row r="5">
      <c r="A5" s="2" t="s">
        <v>26</v>
      </c>
      <c r="B5" s="3" t="s">
        <v>27</v>
      </c>
      <c r="C5" s="4" t="s">
        <v>28</v>
      </c>
      <c r="D5" s="4" t="s">
        <v>29</v>
      </c>
      <c r="E5" s="4" t="s">
        <v>30</v>
      </c>
      <c r="F5" s="3" t="s">
        <v>12</v>
      </c>
      <c r="G5" s="4" t="s">
        <v>31</v>
      </c>
    </row>
    <row r="6">
      <c r="A6" s="2" t="s">
        <v>32</v>
      </c>
      <c r="B6" s="3" t="s">
        <v>33</v>
      </c>
      <c r="C6" s="4" t="s">
        <v>34</v>
      </c>
      <c r="D6" s="4" t="s">
        <v>35</v>
      </c>
      <c r="E6" s="4" t="s">
        <v>36</v>
      </c>
      <c r="F6" s="3" t="s">
        <v>12</v>
      </c>
      <c r="G6" s="4" t="s">
        <v>37</v>
      </c>
    </row>
    <row r="7">
      <c r="A7" s="2" t="s">
        <v>38</v>
      </c>
      <c r="B7" s="3" t="s">
        <v>39</v>
      </c>
      <c r="C7" s="4" t="s">
        <v>40</v>
      </c>
      <c r="D7" s="4" t="s">
        <v>41</v>
      </c>
      <c r="E7" s="4" t="s">
        <v>42</v>
      </c>
      <c r="F7" s="3" t="s">
        <v>12</v>
      </c>
      <c r="G7" s="4" t="s">
        <v>43</v>
      </c>
    </row>
    <row r="8">
      <c r="A8" s="2" t="s">
        <v>44</v>
      </c>
      <c r="B8" s="3" t="s">
        <v>45</v>
      </c>
      <c r="C8" s="4" t="s">
        <v>46</v>
      </c>
      <c r="D8" s="4" t="s">
        <v>47</v>
      </c>
      <c r="E8" s="4" t="s">
        <v>48</v>
      </c>
      <c r="F8" s="3" t="s">
        <v>12</v>
      </c>
      <c r="G8" s="4" t="s">
        <v>49</v>
      </c>
    </row>
    <row r="9">
      <c r="A9" s="5"/>
    </row>
    <row r="10">
      <c r="A10" s="5"/>
    </row>
    <row r="11">
      <c r="A11" s="5"/>
    </row>
    <row r="12">
      <c r="A12" s="5"/>
    </row>
    <row r="13">
      <c r="A1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8" max="8" width="22.25"/>
  </cols>
  <sheetData>
    <row r="1">
      <c r="A1" s="1" t="s">
        <v>50</v>
      </c>
      <c r="B1" s="1" t="s">
        <v>51</v>
      </c>
      <c r="C1" s="1" t="s">
        <v>2</v>
      </c>
      <c r="D1" s="1" t="s">
        <v>52</v>
      </c>
      <c r="E1" s="1" t="s">
        <v>53</v>
      </c>
      <c r="F1" s="1" t="s">
        <v>5</v>
      </c>
      <c r="G1" s="1" t="s">
        <v>54</v>
      </c>
      <c r="H1" s="1" t="s">
        <v>55</v>
      </c>
    </row>
    <row r="2">
      <c r="A2" s="2" t="s">
        <v>56</v>
      </c>
      <c r="B2" s="6">
        <v>45972.0</v>
      </c>
      <c r="C2" s="4" t="s">
        <v>57</v>
      </c>
      <c r="D2" s="4" t="s">
        <v>58</v>
      </c>
      <c r="E2" s="4" t="s">
        <v>59</v>
      </c>
      <c r="F2" s="3" t="s">
        <v>60</v>
      </c>
      <c r="G2" s="3" t="s">
        <v>61</v>
      </c>
      <c r="H2" s="7" t="s">
        <v>62</v>
      </c>
    </row>
    <row r="3">
      <c r="A3" s="2" t="s">
        <v>63</v>
      </c>
      <c r="B3" s="8">
        <v>45968.0</v>
      </c>
      <c r="C3" s="4" t="s">
        <v>64</v>
      </c>
      <c r="D3" s="3" t="s">
        <v>65</v>
      </c>
      <c r="E3" s="3" t="s">
        <v>59</v>
      </c>
      <c r="F3" s="3" t="s">
        <v>66</v>
      </c>
      <c r="G3" s="3" t="s">
        <v>67</v>
      </c>
      <c r="H3" s="4" t="s">
        <v>68</v>
      </c>
    </row>
    <row r="4">
      <c r="A4" s="9"/>
    </row>
    <row r="5">
      <c r="A5" s="5"/>
    </row>
    <row r="6">
      <c r="A6" s="5"/>
    </row>
    <row r="7">
      <c r="A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17.63"/>
    <col customWidth="1" min="4" max="4" width="22.75"/>
    <col customWidth="1" min="5" max="5" width="20.25"/>
    <col customWidth="1" min="6" max="6" width="13.38"/>
  </cols>
  <sheetData>
    <row r="1">
      <c r="A1" s="1" t="s">
        <v>69</v>
      </c>
      <c r="B1" s="1" t="s">
        <v>70</v>
      </c>
      <c r="C1" s="1" t="s">
        <v>71</v>
      </c>
      <c r="D1" s="1" t="s">
        <v>3</v>
      </c>
      <c r="E1" s="1" t="s">
        <v>4</v>
      </c>
      <c r="F1" s="1" t="s">
        <v>5</v>
      </c>
    </row>
    <row r="2">
      <c r="A2" s="2" t="s">
        <v>72</v>
      </c>
      <c r="B2" s="4" t="s">
        <v>73</v>
      </c>
      <c r="C2" s="3" t="s">
        <v>7</v>
      </c>
      <c r="D2" s="4" t="s">
        <v>74</v>
      </c>
      <c r="E2" s="3" t="s">
        <v>75</v>
      </c>
      <c r="F2" s="3" t="s">
        <v>76</v>
      </c>
    </row>
    <row r="3">
      <c r="A3" s="2" t="s">
        <v>77</v>
      </c>
      <c r="B3" s="4" t="s">
        <v>78</v>
      </c>
      <c r="C3" s="3" t="s">
        <v>14</v>
      </c>
      <c r="D3" s="4" t="s">
        <v>79</v>
      </c>
      <c r="E3" s="3" t="s">
        <v>75</v>
      </c>
      <c r="F3" s="3" t="s">
        <v>76</v>
      </c>
    </row>
    <row r="4">
      <c r="A4" s="2" t="s">
        <v>80</v>
      </c>
      <c r="B4" s="4" t="s">
        <v>81</v>
      </c>
      <c r="C4" s="3" t="s">
        <v>38</v>
      </c>
      <c r="D4" s="4" t="s">
        <v>82</v>
      </c>
      <c r="E4" s="3" t="s">
        <v>75</v>
      </c>
      <c r="F4" s="3" t="s">
        <v>76</v>
      </c>
    </row>
    <row r="5">
      <c r="A5" s="2" t="s">
        <v>83</v>
      </c>
      <c r="B5" s="4" t="s">
        <v>84</v>
      </c>
      <c r="C5" s="3" t="s">
        <v>44</v>
      </c>
      <c r="D5" s="4" t="s">
        <v>85</v>
      </c>
      <c r="E5" s="3" t="s">
        <v>86</v>
      </c>
      <c r="F5" s="3" t="s">
        <v>60</v>
      </c>
    </row>
    <row r="6">
      <c r="A6" s="2" t="s">
        <v>87</v>
      </c>
      <c r="B6" s="4" t="s">
        <v>88</v>
      </c>
      <c r="C6" s="3" t="s">
        <v>32</v>
      </c>
      <c r="D6" s="4" t="s">
        <v>89</v>
      </c>
      <c r="E6" s="3" t="s">
        <v>75</v>
      </c>
      <c r="F6" s="3" t="s">
        <v>76</v>
      </c>
    </row>
    <row r="8">
      <c r="E8" s="10" t="s">
        <v>90</v>
      </c>
      <c r="F8" s="11">
        <f>COUNTIF(F2:F6,"Aprobado")/COUNTA(F2:F6)
</f>
        <v>0.8</v>
      </c>
    </row>
    <row r="10">
      <c r="E10" s="1" t="s">
        <v>5</v>
      </c>
      <c r="F10" s="1" t="s">
        <v>91</v>
      </c>
    </row>
    <row r="11">
      <c r="E11" s="2" t="s">
        <v>76</v>
      </c>
      <c r="F11" s="12">
        <f>COUNTIF(F2:F6,"Aprobado")</f>
        <v>4</v>
      </c>
    </row>
    <row r="12">
      <c r="E12" s="2" t="s">
        <v>60</v>
      </c>
      <c r="F12" s="12">
        <f>COUNTIF(F2:F6,"Pendiente")</f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32.25"/>
  </cols>
  <sheetData>
    <row r="1">
      <c r="A1" s="1" t="s">
        <v>92</v>
      </c>
      <c r="B1" s="1" t="s">
        <v>93</v>
      </c>
      <c r="C1" s="1" t="s">
        <v>94</v>
      </c>
      <c r="D1" s="1" t="s">
        <v>95</v>
      </c>
      <c r="F1" s="1" t="s">
        <v>5</v>
      </c>
      <c r="G1" s="1" t="s">
        <v>91</v>
      </c>
    </row>
    <row r="2">
      <c r="A2" s="13" t="s">
        <v>96</v>
      </c>
      <c r="B2" s="12">
        <f>COUNTA('Matriz de trazabilidad'!A2:A6)</f>
        <v>5</v>
      </c>
      <c r="C2" s="3">
        <v>5.0</v>
      </c>
      <c r="D2" s="4" t="s">
        <v>97</v>
      </c>
      <c r="E2" s="14"/>
      <c r="F2" s="2" t="s">
        <v>66</v>
      </c>
      <c r="G2" s="12">
        <f>COUNTIF('Registro de incidencias'!F2:F100,"Resuelta")</f>
        <v>1</v>
      </c>
    </row>
    <row r="3">
      <c r="A3" s="13" t="s">
        <v>98</v>
      </c>
      <c r="B3" s="12">
        <f>COUNTIF('Matriz de trazabilidad'!F2:F6,"Aprobado")</f>
        <v>4</v>
      </c>
      <c r="C3" s="3">
        <v>4.0</v>
      </c>
      <c r="D3" s="4" t="s">
        <v>99</v>
      </c>
      <c r="E3" s="14"/>
      <c r="F3" s="2" t="s">
        <v>60</v>
      </c>
      <c r="G3" s="12">
        <f>COUNTIF('Registro de incidencias'!F2:F100,"Pendiente")</f>
        <v>1</v>
      </c>
    </row>
    <row r="4">
      <c r="A4" s="13" t="s">
        <v>100</v>
      </c>
      <c r="B4" s="12">
        <f>COUNTIF('Matriz de trazabilidad'!F2:F6,"Pendiente")</f>
        <v>1</v>
      </c>
      <c r="C4" s="3">
        <v>1.0</v>
      </c>
      <c r="D4" s="4" t="s">
        <v>101</v>
      </c>
      <c r="E4" s="14"/>
    </row>
    <row r="5">
      <c r="A5" s="13" t="s">
        <v>102</v>
      </c>
      <c r="B5" s="15">
        <f>COUNTIF('Matriz de trazabilidad'!F2:F6,"Aprobado")/COUNTA('Matriz de trazabilidad'!F2:F6)</f>
        <v>0.8</v>
      </c>
      <c r="C5" s="16">
        <v>0.8</v>
      </c>
      <c r="D5" s="4" t="s">
        <v>103</v>
      </c>
      <c r="E5" s="14"/>
    </row>
    <row r="6">
      <c r="A6" s="13" t="s">
        <v>104</v>
      </c>
      <c r="B6" s="12">
        <f>COUNTA('Registro de incidencias'!A2:A100)</f>
        <v>2</v>
      </c>
      <c r="C6" s="3">
        <f>DIVIDE(B2,B6)</f>
        <v>2.5</v>
      </c>
      <c r="D6" s="4" t="s">
        <v>105</v>
      </c>
      <c r="E6" s="14"/>
    </row>
    <row r="7">
      <c r="A7" s="13" t="s">
        <v>106</v>
      </c>
      <c r="B7" s="15">
        <f>COUNTIF('Registro de incidencias'!F2:F100,"Resuelta") / COUNTA('Registro de incidencias'!A2:A100)
</f>
        <v>0.5</v>
      </c>
      <c r="C7" s="16">
        <v>0.5</v>
      </c>
      <c r="D7" s="4" t="s">
        <v>107</v>
      </c>
      <c r="E7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4.75"/>
    <col customWidth="1" min="4" max="4" width="16.13"/>
    <col customWidth="1" min="5" max="5" width="10.25"/>
    <col customWidth="1" min="6" max="6" width="16.38"/>
    <col customWidth="1" min="8" max="8" width="12.75"/>
  </cols>
  <sheetData>
    <row r="1">
      <c r="A1" s="1" t="s">
        <v>108</v>
      </c>
      <c r="B1" s="1" t="s">
        <v>109</v>
      </c>
      <c r="C1" s="1" t="s">
        <v>52</v>
      </c>
      <c r="D1" s="1" t="s">
        <v>2</v>
      </c>
      <c r="E1" s="1" t="s">
        <v>5</v>
      </c>
      <c r="F1" s="1" t="s">
        <v>110</v>
      </c>
      <c r="G1" s="1" t="s">
        <v>54</v>
      </c>
      <c r="H1" s="1" t="s">
        <v>6</v>
      </c>
    </row>
    <row r="2">
      <c r="A2" s="2" t="s">
        <v>111</v>
      </c>
      <c r="B2" s="6">
        <v>45972.0</v>
      </c>
      <c r="C2" s="4" t="s">
        <v>58</v>
      </c>
      <c r="D2" s="4" t="s">
        <v>57</v>
      </c>
      <c r="E2" s="3" t="s">
        <v>60</v>
      </c>
      <c r="F2" s="3" t="s">
        <v>112</v>
      </c>
      <c r="G2" s="3" t="s">
        <v>61</v>
      </c>
      <c r="H2" s="4" t="s">
        <v>113</v>
      </c>
    </row>
    <row r="3">
      <c r="A3" s="2" t="s">
        <v>114</v>
      </c>
      <c r="B3" s="6">
        <v>45972.0</v>
      </c>
      <c r="C3" s="4" t="s">
        <v>115</v>
      </c>
      <c r="D3" s="4" t="s">
        <v>116</v>
      </c>
      <c r="E3" s="3" t="s">
        <v>117</v>
      </c>
      <c r="F3" s="6">
        <v>45972.0</v>
      </c>
      <c r="G3" s="3" t="s">
        <v>67</v>
      </c>
      <c r="H3" s="4" t="s">
        <v>118</v>
      </c>
    </row>
  </sheetData>
  <drawing r:id="rId1"/>
</worksheet>
</file>